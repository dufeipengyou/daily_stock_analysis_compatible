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tabRatio="350"/>
  </bookViews>
  <sheets>
    <sheet name="Sheet1" sheetId="7" r:id="rId1"/>
  </sheets>
  <externalReferences>
    <externalReference r:id="rId2"/>
  </externalReferences>
  <definedNames>
    <definedName name="代码1">[1]映射关系!$B:$D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dufei</author>
  </authors>
  <commentList>
    <comment ref="N1" authorId="0">
      <text>
        <r>
          <rPr>
            <sz val="9"/>
            <rFont val="宋体"/>
            <charset val="134"/>
          </rPr>
          <t>结构是选择估值类型的指标，产品是标记同一个结构下如果其他结构不同的进一步区分</t>
        </r>
      </text>
    </comment>
    <comment ref="Z1" authorId="0">
      <text>
        <r>
          <rPr>
            <sz val="9"/>
            <rFont val="宋体"/>
            <charset val="134"/>
          </rPr>
          <t>卖沽、卖购、备兑
的保证金比例都用1-期权费，这样可以统一分析真正的收益率</t>
        </r>
      </text>
    </comment>
  </commentList>
</comments>
</file>

<file path=xl/sharedStrings.xml><?xml version="1.0" encoding="utf-8"?>
<sst xmlns="http://schemas.openxmlformats.org/spreadsheetml/2006/main" count="169" uniqueCount="118">
  <si>
    <t>序号</t>
  </si>
  <si>
    <t>已下本金</t>
  </si>
  <si>
    <t>成本价格</t>
  </si>
  <si>
    <t>数量</t>
  </si>
  <si>
    <t>底极值</t>
  </si>
  <si>
    <t>加仓点</t>
  </si>
  <si>
    <t>顶极值</t>
  </si>
  <si>
    <t>回踩点</t>
  </si>
  <si>
    <t>分红贴水率</t>
  </si>
  <si>
    <t>波动率</t>
  </si>
  <si>
    <t>标的</t>
  </si>
  <si>
    <t>代码</t>
  </si>
  <si>
    <t>类型</t>
  </si>
  <si>
    <t>结构</t>
  </si>
  <si>
    <t>callput</t>
  </si>
  <si>
    <t>产品</t>
  </si>
  <si>
    <t>下单日期</t>
  </si>
  <si>
    <t>成交价格</t>
  </si>
  <si>
    <t>期限（月）</t>
  </si>
  <si>
    <t>锁定期（月）</t>
  </si>
  <si>
    <t>敲入价格</t>
  </si>
  <si>
    <t>敲出价格</t>
  </si>
  <si>
    <t>敲入价</t>
  </si>
  <si>
    <t>敲出价</t>
  </si>
  <si>
    <t>名义本金</t>
  </si>
  <si>
    <t>保证金比例</t>
  </si>
  <si>
    <t>期权费</t>
  </si>
  <si>
    <t>递减</t>
  </si>
  <si>
    <t>票息</t>
  </si>
  <si>
    <t>年化总收益</t>
  </si>
  <si>
    <t>早利二段票息</t>
  </si>
  <si>
    <t>是否敲入</t>
  </si>
  <si>
    <t>敲入观察频率</t>
  </si>
  <si>
    <t>敲出观察频率</t>
  </si>
  <si>
    <r>
      <rPr>
        <sz val="10"/>
        <color rgb="FF6AAB73"/>
        <rFont val="Courier New"/>
        <charset val="134"/>
      </rPr>
      <t>otm</t>
    </r>
    <r>
      <rPr>
        <sz val="10"/>
        <color rgb="FF6AAB73"/>
        <rFont val="宋体"/>
        <charset val="134"/>
      </rPr>
      <t>行权价</t>
    </r>
  </si>
  <si>
    <t>最终敲出价</t>
  </si>
  <si>
    <t>参与率</t>
  </si>
  <si>
    <t>备注</t>
  </si>
  <si>
    <t>恩捷股份</t>
  </si>
  <si>
    <t>002812.SZ</t>
  </si>
  <si>
    <t>个股</t>
  </si>
  <si>
    <t>早利保底雪球</t>
  </si>
  <si>
    <t>put</t>
  </si>
  <si>
    <t>daily</t>
  </si>
  <si>
    <t>monthly</t>
  </si>
  <si>
    <t>格力电器</t>
  </si>
  <si>
    <t>000651.SZ</t>
  </si>
  <si>
    <t>中顺洁柔</t>
  </si>
  <si>
    <t>002511.SZ</t>
  </si>
  <si>
    <t>医疗设备ETF</t>
  </si>
  <si>
    <t>159873.SZ</t>
  </si>
  <si>
    <t>etf</t>
  </si>
  <si>
    <t>恒生互联网etf</t>
  </si>
  <si>
    <t>159688.XSHE</t>
  </si>
  <si>
    <t>早利雪球不追保</t>
  </si>
  <si>
    <t>科技类：虽然高位，但科技是永恒的，且中国好科技都在恒生</t>
  </si>
  <si>
    <t>证券保险etf</t>
  </si>
  <si>
    <t>512070.XSHG</t>
  </si>
  <si>
    <t>利润类：他们的利润变好了</t>
  </si>
  <si>
    <t>医药etf</t>
  </si>
  <si>
    <t>512010.XSHG</t>
  </si>
  <si>
    <t>反转类：地产没有选是因为地产的超长期机会可能真的没有了</t>
  </si>
  <si>
    <t>酒etf</t>
  </si>
  <si>
    <t>512690.XSHG</t>
  </si>
  <si>
    <t>消费类</t>
  </si>
  <si>
    <t>央企能源etf</t>
  </si>
  <si>
    <t>562850.XSHG</t>
  </si>
  <si>
    <t>能源煤炭：对接意外</t>
  </si>
  <si>
    <t>银行etf</t>
  </si>
  <si>
    <t>159887.XSHE</t>
  </si>
  <si>
    <t>银行：银行总是大跌时候被拉的，可以给其他策略省钱</t>
  </si>
  <si>
    <t>黄金etf</t>
  </si>
  <si>
    <t>518800.XSHG</t>
  </si>
  <si>
    <t>黄金：大危机的时候总是被拉起来</t>
  </si>
  <si>
    <t>贵州茅台</t>
  </si>
  <si>
    <t>600519.XSHG</t>
  </si>
  <si>
    <t>潍柴动力</t>
  </si>
  <si>
    <t>000338.XSHE</t>
  </si>
  <si>
    <t>山推股份</t>
  </si>
  <si>
    <t>000680.XSHE</t>
  </si>
  <si>
    <t>济川药业</t>
  </si>
  <si>
    <t>600566.XSHG</t>
  </si>
  <si>
    <t>盐湖股份</t>
  </si>
  <si>
    <t>000792.XSHE</t>
  </si>
  <si>
    <t>藏格矿业</t>
  </si>
  <si>
    <t>000408.XSHG</t>
  </si>
  <si>
    <t>江苏金租</t>
  </si>
  <si>
    <t>600901.XSHG</t>
  </si>
  <si>
    <t>陕西煤业</t>
  </si>
  <si>
    <t>601225.XSHG</t>
  </si>
  <si>
    <t>中国神华</t>
  </si>
  <si>
    <t>601088.XSHG</t>
  </si>
  <si>
    <t>中国海油</t>
  </si>
  <si>
    <t>600938.XSHG</t>
  </si>
  <si>
    <t>紫金矿业</t>
  </si>
  <si>
    <t>601899.XSHG</t>
  </si>
  <si>
    <t>牧原股份</t>
  </si>
  <si>
    <t>002714.SZ</t>
  </si>
  <si>
    <t>亚钾国际</t>
  </si>
  <si>
    <t>000893.SZ</t>
  </si>
  <si>
    <t>云天化</t>
  </si>
  <si>
    <t>600096.XSHG</t>
  </si>
  <si>
    <t>老凤祥</t>
  </si>
  <si>
    <t>600612.XSHG</t>
  </si>
  <si>
    <t>老凤祥B</t>
  </si>
  <si>
    <t>sh900905</t>
  </si>
  <si>
    <t>古井贡B</t>
  </si>
  <si>
    <t>sz200596</t>
  </si>
  <si>
    <t>泡泡玛特</t>
  </si>
  <si>
    <t>hk09992</t>
  </si>
  <si>
    <t>蜜雪集团</t>
  </si>
  <si>
    <t>hk02097</t>
  </si>
  <si>
    <t>中国船舶租赁</t>
  </si>
  <si>
    <t>hk03877</t>
  </si>
  <si>
    <t>老铺黄金</t>
  </si>
  <si>
    <t>hk06181</t>
  </si>
  <si>
    <t>茶百道</t>
  </si>
  <si>
    <t>hk02555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</si>
</sst>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.0000_ ;_ * \-#,##0.0000_ ;_ * &quot;-&quot;??_ ;_ @_ "/>
  </numFmts>
  <fonts count="4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4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rgb="FF0070C0"/>
      <name val="宋体"/>
      <charset val="134"/>
      <scheme val="minor"/>
    </font>
    <font>
      <sz val="10"/>
      <name val="宋体"/>
      <charset val="134"/>
    </font>
    <font>
      <sz val="10"/>
      <color rgb="FF6AAB73"/>
      <name val="宋体"/>
      <charset val="134"/>
      <scheme val="minor"/>
    </font>
    <font>
      <sz val="10"/>
      <color rgb="FF6AAB73"/>
      <name val="Courier New"/>
      <charset val="134"/>
    </font>
    <font>
      <sz val="10"/>
      <color rgb="FF6AAB73"/>
      <name val="宋体"/>
      <charset val="134"/>
    </font>
    <font>
      <sz val="10"/>
      <color rgb="FF0070C0"/>
      <name val="宋体"/>
      <charset val="134"/>
      <scheme val="minor"/>
    </font>
    <font>
      <sz val="10"/>
      <color rgb="FF0070C0"/>
      <name val="宋体"/>
      <charset val="134"/>
    </font>
    <font>
      <sz val="10"/>
      <color rgb="FF0070C0"/>
      <name val="Segoe UI"/>
      <charset val="134"/>
    </font>
    <font>
      <b/>
      <sz val="10"/>
      <color rgb="FF0070C0"/>
      <name val="宋体"/>
      <charset val="134"/>
    </font>
    <font>
      <sz val="10"/>
      <color rgb="FF0070C0"/>
      <name val="Courier New"/>
      <charset val="134"/>
    </font>
    <font>
      <b/>
      <sz val="10"/>
      <color theme="4"/>
      <name val="宋体"/>
      <charset val="134"/>
    </font>
    <font>
      <b/>
      <sz val="10"/>
      <color theme="4"/>
      <name val="Segoe UI"/>
      <charset val="134"/>
    </font>
    <font>
      <b/>
      <sz val="10"/>
      <color theme="4"/>
      <name val="Courier New"/>
      <charset val="134"/>
    </font>
    <font>
      <b/>
      <sz val="10"/>
      <color rgb="FF6AAB73"/>
      <name val="宋体"/>
      <charset val="134"/>
    </font>
    <font>
      <b/>
      <sz val="10"/>
      <color rgb="FF0070C0"/>
      <name val="Segoe UI"/>
      <charset val="134"/>
    </font>
    <font>
      <b/>
      <sz val="10"/>
      <color rgb="FF0070C0"/>
      <name val="Courier New"/>
      <charset val="134"/>
    </font>
    <font>
      <sz val="10"/>
      <color rgb="FF2C2C36"/>
      <name val="宋体"/>
      <charset val="134"/>
    </font>
    <font>
      <sz val="10"/>
      <color rgb="FF2C2C36"/>
      <name val="Segoe UI"/>
      <charset val="134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b/>
      <sz val="11"/>
      <color indexed="8"/>
      <name val="等线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FE6E0"/>
        <bgColor indexed="64"/>
      </patternFill>
    </fill>
    <fill>
      <gradientFill degree="90">
        <stop position="0">
          <color rgb="FFF7F5F8"/>
        </stop>
        <stop position="1">
          <color rgb="FFD0D5F2"/>
        </stop>
      </gradient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9" fillId="0" borderId="2" applyNumberFormat="0" applyFill="0" applyAlignment="0" applyProtection="0">
      <alignment vertical="center"/>
    </xf>
    <xf numFmtId="0" fontId="30" fillId="0" borderId="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4" applyNumberFormat="0" applyAlignment="0" applyProtection="0">
      <alignment vertical="center"/>
    </xf>
    <xf numFmtId="0" fontId="32" fillId="5" borderId="5" applyNumberFormat="0" applyAlignment="0" applyProtection="0">
      <alignment vertical="center"/>
    </xf>
    <xf numFmtId="0" fontId="33" fillId="5" borderId="4" applyNumberFormat="0" applyAlignment="0" applyProtection="0">
      <alignment vertical="center"/>
    </xf>
    <xf numFmtId="0" fontId="34" fillId="6" borderId="6" applyNumberFormat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2" fillId="34" borderId="0">
      <alignment horizontal="left" vertical="center"/>
    </xf>
    <xf numFmtId="0" fontId="43" fillId="35" borderId="0">
      <alignment horizontal="center" vertical="center"/>
    </xf>
  </cellStyleXfs>
  <cellXfs count="71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4" fillId="0" borderId="0" xfId="0" applyFont="1" applyFill="1" applyBorder="1"/>
    <xf numFmtId="0" fontId="1" fillId="0" borderId="0" xfId="0" applyFont="1"/>
    <xf numFmtId="43" fontId="1" fillId="0" borderId="0" xfId="0" applyNumberFormat="1" applyFont="1"/>
    <xf numFmtId="9" fontId="1" fillId="0" borderId="0" xfId="3" applyFont="1" applyAlignment="1"/>
    <xf numFmtId="43" fontId="1" fillId="0" borderId="0" xfId="0" applyNumberFormat="1" applyFont="1" applyBorder="1"/>
    <xf numFmtId="0" fontId="5" fillId="0" borderId="0" xfId="0" applyFont="1" applyBorder="1" applyAlignment="1">
      <alignment horizontal="center" vertical="top"/>
    </xf>
    <xf numFmtId="9" fontId="5" fillId="0" borderId="0" xfId="3" applyFont="1" applyBorder="1" applyAlignment="1">
      <alignment horizontal="center" vertical="top"/>
    </xf>
    <xf numFmtId="0" fontId="6" fillId="0" borderId="0" xfId="0" applyFont="1" applyBorder="1" applyAlignment="1">
      <alignment vertical="center"/>
    </xf>
    <xf numFmtId="9" fontId="7" fillId="0" borderId="0" xfId="3" applyFont="1" applyBorder="1" applyAlignment="1">
      <alignment wrapText="1"/>
    </xf>
    <xf numFmtId="9" fontId="8" fillId="0" borderId="0" xfId="3" applyFont="1" applyBorder="1" applyAlignment="1">
      <alignment wrapText="1"/>
    </xf>
    <xf numFmtId="43" fontId="9" fillId="0" borderId="0" xfId="0" applyNumberFormat="1" applyFont="1" applyFill="1" applyBorder="1"/>
    <xf numFmtId="0" fontId="8" fillId="0" borderId="0" xfId="0" applyFont="1" applyBorder="1" applyAlignment="1">
      <alignment wrapText="1"/>
    </xf>
    <xf numFmtId="0" fontId="10" fillId="0" borderId="0" xfId="0" applyFont="1" applyFill="1" applyBorder="1" applyAlignment="1">
      <alignment wrapText="1"/>
    </xf>
    <xf numFmtId="14" fontId="1" fillId="0" borderId="0" xfId="0" applyNumberFormat="1" applyFont="1" applyBorder="1"/>
    <xf numFmtId="0" fontId="11" fillId="0" borderId="0" xfId="0" applyFont="1" applyFill="1" applyBorder="1" applyAlignment="1">
      <alignment wrapText="1"/>
    </xf>
    <xf numFmtId="43" fontId="11" fillId="0" borderId="0" xfId="3" applyNumberFormat="1" applyFont="1" applyFill="1" applyBorder="1" applyAlignment="1">
      <alignment wrapText="1"/>
    </xf>
    <xf numFmtId="43" fontId="11" fillId="0" borderId="0" xfId="0" applyNumberFormat="1" applyFont="1" applyFill="1" applyBorder="1" applyAlignment="1">
      <alignment wrapText="1"/>
    </xf>
    <xf numFmtId="43" fontId="4" fillId="0" borderId="0" xfId="3" applyNumberFormat="1" applyFont="1" applyFill="1" applyBorder="1" applyAlignment="1">
      <alignment vertical="center"/>
    </xf>
    <xf numFmtId="43" fontId="12" fillId="0" borderId="0" xfId="0" applyNumberFormat="1" applyFont="1" applyFill="1" applyBorder="1" applyAlignment="1" applyProtection="1">
      <alignment horizontal="center" vertical="center"/>
      <protection locked="0"/>
    </xf>
    <xf numFmtId="43" fontId="13" fillId="0" borderId="0" xfId="0" applyNumberFormat="1" applyFont="1" applyFill="1" applyBorder="1" applyAlignment="1">
      <alignment vertical="center"/>
    </xf>
    <xf numFmtId="176" fontId="11" fillId="0" borderId="0" xfId="3" applyNumberFormat="1" applyFont="1" applyFill="1" applyBorder="1" applyAlignment="1">
      <alignment wrapText="1"/>
    </xf>
    <xf numFmtId="43" fontId="9" fillId="0" borderId="0" xfId="3" applyNumberFormat="1" applyFont="1" applyFill="1" applyBorder="1" applyAlignment="1"/>
    <xf numFmtId="43" fontId="2" fillId="0" borderId="0" xfId="0" applyNumberFormat="1" applyFont="1" applyBorder="1"/>
    <xf numFmtId="43" fontId="2" fillId="0" borderId="0" xfId="0" applyNumberFormat="1" applyFont="1" applyFill="1" applyBorder="1"/>
    <xf numFmtId="0" fontId="14" fillId="0" borderId="0" xfId="0" applyFont="1" applyBorder="1" applyAlignment="1">
      <alignment wrapText="1"/>
    </xf>
    <xf numFmtId="0" fontId="14" fillId="0" borderId="0" xfId="0" applyFont="1" applyFill="1" applyBorder="1" applyAlignment="1">
      <alignment wrapText="1"/>
    </xf>
    <xf numFmtId="14" fontId="2" fillId="0" borderId="0" xfId="0" applyNumberFormat="1" applyFont="1" applyBorder="1"/>
    <xf numFmtId="0" fontId="15" fillId="0" borderId="0" xfId="0" applyFont="1" applyFill="1" applyBorder="1" applyAlignment="1">
      <alignment wrapText="1"/>
    </xf>
    <xf numFmtId="43" fontId="15" fillId="0" borderId="0" xfId="3" applyNumberFormat="1" applyFont="1" applyFill="1" applyBorder="1" applyAlignment="1">
      <alignment wrapText="1"/>
    </xf>
    <xf numFmtId="43" fontId="15" fillId="0" borderId="0" xfId="0" applyNumberFormat="1" applyFont="1" applyFill="1" applyBorder="1" applyAlignment="1">
      <alignment wrapText="1"/>
    </xf>
    <xf numFmtId="43" fontId="2" fillId="0" borderId="0" xfId="3" applyNumberFormat="1" applyFont="1" applyFill="1" applyBorder="1" applyAlignment="1">
      <alignment vertical="center"/>
    </xf>
    <xf numFmtId="43" fontId="14" fillId="0" borderId="0" xfId="0" applyNumberFormat="1" applyFont="1" applyFill="1" applyBorder="1" applyAlignment="1" applyProtection="1">
      <alignment horizontal="center" vertical="center"/>
      <protection locked="0"/>
    </xf>
    <xf numFmtId="43" fontId="16" fillId="0" borderId="0" xfId="0" applyNumberFormat="1" applyFont="1" applyFill="1" applyBorder="1" applyAlignment="1">
      <alignment vertical="center"/>
    </xf>
    <xf numFmtId="176" fontId="15" fillId="0" borderId="0" xfId="3" applyNumberFormat="1" applyFont="1" applyFill="1" applyBorder="1" applyAlignment="1">
      <alignment wrapText="1"/>
    </xf>
    <xf numFmtId="43" fontId="2" fillId="0" borderId="0" xfId="3" applyNumberFormat="1" applyFont="1" applyFill="1" applyBorder="1" applyAlignment="1"/>
    <xf numFmtId="43" fontId="3" fillId="0" borderId="0" xfId="0" applyNumberFormat="1" applyFont="1" applyBorder="1"/>
    <xf numFmtId="43" fontId="4" fillId="0" borderId="0" xfId="0" applyNumberFormat="1" applyFont="1" applyFill="1" applyBorder="1"/>
    <xf numFmtId="0" fontId="17" fillId="0" borderId="0" xfId="0" applyFont="1" applyBorder="1" applyAlignment="1">
      <alignment wrapText="1"/>
    </xf>
    <xf numFmtId="0" fontId="12" fillId="0" borderId="0" xfId="0" applyFont="1" applyFill="1" applyBorder="1" applyAlignment="1">
      <alignment wrapText="1"/>
    </xf>
    <xf numFmtId="14" fontId="3" fillId="0" borderId="0" xfId="0" applyNumberFormat="1" applyFont="1" applyBorder="1"/>
    <xf numFmtId="0" fontId="18" fillId="0" borderId="0" xfId="0" applyFont="1" applyFill="1" applyBorder="1" applyAlignment="1">
      <alignment wrapText="1"/>
    </xf>
    <xf numFmtId="43" fontId="18" fillId="0" borderId="0" xfId="3" applyNumberFormat="1" applyFont="1" applyFill="1" applyBorder="1" applyAlignment="1">
      <alignment wrapText="1"/>
    </xf>
    <xf numFmtId="43" fontId="18" fillId="0" borderId="0" xfId="0" applyNumberFormat="1" applyFont="1" applyFill="1" applyBorder="1" applyAlignment="1">
      <alignment wrapText="1"/>
    </xf>
    <xf numFmtId="43" fontId="19" fillId="0" borderId="0" xfId="0" applyNumberFormat="1" applyFont="1" applyFill="1" applyBorder="1" applyAlignment="1">
      <alignment vertical="center"/>
    </xf>
    <xf numFmtId="176" fontId="18" fillId="0" borderId="0" xfId="3" applyNumberFormat="1" applyFont="1" applyFill="1" applyBorder="1" applyAlignment="1">
      <alignment wrapText="1"/>
    </xf>
    <xf numFmtId="43" fontId="4" fillId="0" borderId="0" xfId="3" applyNumberFormat="1" applyFont="1" applyFill="1" applyBorder="1" applyAlignment="1"/>
    <xf numFmtId="14" fontId="1" fillId="0" borderId="0" xfId="0" applyNumberFormat="1" applyFont="1" applyFill="1" applyAlignment="1"/>
    <xf numFmtId="43" fontId="1" fillId="0" borderId="0" xfId="0" applyNumberFormat="1" applyFont="1" applyFill="1" applyAlignment="1"/>
    <xf numFmtId="43" fontId="9" fillId="0" borderId="0" xfId="0" applyNumberFormat="1" applyFont="1" applyFill="1" applyBorder="1" applyAlignment="1"/>
    <xf numFmtId="43" fontId="9" fillId="0" borderId="0" xfId="0" applyNumberFormat="1" applyFont="1" applyFill="1" applyAlignment="1"/>
    <xf numFmtId="0" fontId="10" fillId="2" borderId="0" xfId="0" applyFont="1" applyFill="1" applyAlignment="1">
      <alignment wrapText="1"/>
    </xf>
    <xf numFmtId="0" fontId="9" fillId="0" borderId="0" xfId="0" applyFont="1" applyFill="1" applyAlignment="1"/>
    <xf numFmtId="0" fontId="20" fillId="2" borderId="0" xfId="0" applyFont="1" applyFill="1" applyAlignment="1">
      <alignment wrapText="1"/>
    </xf>
    <xf numFmtId="14" fontId="9" fillId="0" borderId="0" xfId="0" applyNumberFormat="1" applyFont="1" applyFill="1" applyAlignment="1"/>
    <xf numFmtId="0" fontId="11" fillId="2" borderId="0" xfId="0" applyFont="1" applyFill="1" applyAlignment="1">
      <alignment wrapText="1"/>
    </xf>
    <xf numFmtId="43" fontId="21" fillId="2" borderId="0" xfId="3" applyNumberFormat="1" applyFont="1" applyFill="1" applyBorder="1" applyAlignment="1">
      <alignment wrapText="1"/>
    </xf>
    <xf numFmtId="43" fontId="11" fillId="2" borderId="0" xfId="3" applyNumberFormat="1" applyFont="1" applyFill="1" applyBorder="1" applyAlignment="1">
      <alignment wrapText="1"/>
    </xf>
    <xf numFmtId="43" fontId="21" fillId="2" borderId="0" xfId="0" applyNumberFormat="1" applyFont="1" applyFill="1" applyAlignment="1">
      <alignment wrapText="1"/>
    </xf>
    <xf numFmtId="43" fontId="3" fillId="0" borderId="0" xfId="3" applyNumberFormat="1" applyFont="1" applyFill="1" applyBorder="1" applyAlignment="1">
      <alignment vertical="center"/>
    </xf>
    <xf numFmtId="43" fontId="22" fillId="0" borderId="0" xfId="0" applyNumberFormat="1" applyFont="1" applyFill="1" applyAlignment="1" applyProtection="1">
      <alignment horizontal="center" vertical="center"/>
      <protection locked="0"/>
    </xf>
    <xf numFmtId="43" fontId="7" fillId="0" borderId="0" xfId="0" applyNumberFormat="1" applyFont="1" applyFill="1" applyAlignment="1">
      <alignment vertical="center"/>
    </xf>
    <xf numFmtId="43" fontId="1" fillId="0" borderId="0" xfId="3" applyNumberFormat="1" applyFont="1" applyBorder="1" applyAlignment="1"/>
    <xf numFmtId="0" fontId="1" fillId="0" borderId="0" xfId="0" applyFont="1" applyFill="1" applyAlignment="1">
      <alignment wrapText="1"/>
    </xf>
    <xf numFmtId="43" fontId="1" fillId="0" borderId="0" xfId="3" applyNumberFormat="1" applyFont="1" applyAlignment="1"/>
    <xf numFmtId="14" fontId="4" fillId="0" borderId="0" xfId="0" applyNumberFormat="1" applyFont="1" applyFill="1" applyBorder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2" xfId="49"/>
    <cellStyle name="样式 7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0132;&#26131;&#37096;\&#31574;&#30053;&#25968;&#25454;\&#38634;&#29699;&#25253;&#20215;&#27169;&#26495;10.1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报价格式"/>
      <sheetName val="映射关系"/>
      <sheetName val="指数香草"/>
      <sheetName val="气囊鲨鱼鳍"/>
      <sheetName val="标准累购"/>
      <sheetName val="标准累沽"/>
      <sheetName val="商品期权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4"/>
  <sheetViews>
    <sheetView tabSelected="1" workbookViewId="0">
      <pane xSplit="1" ySplit="1" topLeftCell="B20" activePane="bottomRight" state="frozen"/>
      <selection/>
      <selection pane="topRight"/>
      <selection pane="bottomLeft"/>
      <selection pane="bottomRight" activeCell="O29" sqref="O29"/>
    </sheetView>
  </sheetViews>
  <sheetFormatPr defaultColWidth="9" defaultRowHeight="20" customHeight="1"/>
  <cols>
    <col min="1" max="1" width="4.62962962962963" style="7" customWidth="1"/>
    <col min="2" max="2" width="12.6296296296296" style="7" customWidth="1"/>
    <col min="3" max="3" width="9.62962962962963" style="8" customWidth="1"/>
    <col min="4" max="4" width="7.66666666666667" style="7" customWidth="1"/>
    <col min="5" max="5" width="8.25" style="7" customWidth="1"/>
    <col min="6" max="6" width="7.5" style="7" customWidth="1"/>
    <col min="7" max="7" width="6.25" style="7" customWidth="1"/>
    <col min="8" max="8" width="6.62962962962963" style="7" customWidth="1"/>
    <col min="9" max="9" width="9.5" style="7" customWidth="1"/>
    <col min="10" max="10" width="6.25" style="7" customWidth="1"/>
    <col min="11" max="11" width="12.3796296296296" style="7" customWidth="1"/>
    <col min="12" max="12" width="13" style="7" customWidth="1"/>
    <col min="13" max="13" width="4.62962962962963" style="7" customWidth="1"/>
    <col min="14" max="14" width="11.1296296296296" style="7" customWidth="1"/>
    <col min="15" max="15" width="7.5" style="7" customWidth="1"/>
    <col min="16" max="16" width="11.1296296296296" style="7" customWidth="1"/>
    <col min="17" max="18" width="8.37962962962963" style="7" customWidth="1"/>
    <col min="19" max="19" width="9.5" style="7" customWidth="1"/>
    <col min="20" max="20" width="10.5" style="7" customWidth="1"/>
    <col min="21" max="22" width="8.37962962962963" style="7" customWidth="1"/>
    <col min="23" max="24" width="6.25" style="9" customWidth="1"/>
    <col min="25" max="25" width="11.1296296296296" style="7" customWidth="1"/>
    <col min="26" max="26" width="9.5" style="9" customWidth="1"/>
    <col min="27" max="27" width="6.25" style="7" customWidth="1"/>
    <col min="28" max="28" width="4.62962962962963" style="7" customWidth="1"/>
    <col min="29" max="29" width="4.62962962962963" style="9" customWidth="1"/>
    <col min="30" max="30" width="9.5" style="9" customWidth="1"/>
    <col min="31" max="31" width="11.25" style="7" customWidth="1"/>
    <col min="32" max="32" width="7.87962962962963" style="7" customWidth="1"/>
    <col min="33" max="34" width="11.25" style="7" customWidth="1"/>
    <col min="35" max="35" width="8.5" style="9" customWidth="1"/>
    <col min="36" max="36" width="8.75" style="9" customWidth="1"/>
    <col min="37" max="37" width="5.5" style="9" customWidth="1"/>
    <col min="38" max="38" width="48.5" style="7" customWidth="1"/>
    <col min="39" max="16384" width="9" style="7"/>
  </cols>
  <sheetData>
    <row r="1" s="1" customFormat="1" customHeight="1" spans="1:38">
      <c r="A1" s="1" t="s">
        <v>0</v>
      </c>
      <c r="B1" s="1" t="s">
        <v>1</v>
      </c>
      <c r="C1" s="10" t="s">
        <v>2</v>
      </c>
      <c r="D1" s="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" t="s">
        <v>16</v>
      </c>
      <c r="R1" s="1" t="s">
        <v>17</v>
      </c>
      <c r="S1" s="11" t="s">
        <v>18</v>
      </c>
      <c r="T1" s="11" t="s">
        <v>19</v>
      </c>
      <c r="U1" s="4" t="s">
        <v>20</v>
      </c>
      <c r="V1" s="12" t="s">
        <v>21</v>
      </c>
      <c r="W1" s="12" t="s">
        <v>22</v>
      </c>
      <c r="X1" s="12" t="s">
        <v>23</v>
      </c>
      <c r="Y1" s="11" t="s">
        <v>24</v>
      </c>
      <c r="Z1" s="12" t="s">
        <v>25</v>
      </c>
      <c r="AA1" s="11" t="s">
        <v>26</v>
      </c>
      <c r="AB1" s="11" t="s">
        <v>27</v>
      </c>
      <c r="AC1" s="12" t="s">
        <v>28</v>
      </c>
      <c r="AD1" s="12" t="s">
        <v>29</v>
      </c>
      <c r="AE1" s="11" t="s">
        <v>30</v>
      </c>
      <c r="AF1" s="11" t="s">
        <v>31</v>
      </c>
      <c r="AG1" s="13" t="s">
        <v>32</v>
      </c>
      <c r="AH1" s="13" t="s">
        <v>33</v>
      </c>
      <c r="AI1" s="14" t="s">
        <v>34</v>
      </c>
      <c r="AJ1" s="15" t="s">
        <v>35</v>
      </c>
      <c r="AK1" s="15" t="s">
        <v>36</v>
      </c>
      <c r="AL1" s="1" t="s">
        <v>37</v>
      </c>
    </row>
    <row r="2" s="1" customFormat="1" customHeight="1" spans="1:38">
      <c r="A2" s="1">
        <v>1</v>
      </c>
      <c r="B2" s="10">
        <f>D2*C2</f>
        <v>50208</v>
      </c>
      <c r="C2" s="10">
        <v>125.52</v>
      </c>
      <c r="D2" s="1">
        <v>400</v>
      </c>
      <c r="E2" s="1">
        <v>24.4</v>
      </c>
      <c r="F2" s="1">
        <f>E2*1.05</f>
        <v>25.62</v>
      </c>
      <c r="G2" s="1">
        <v>42.84</v>
      </c>
      <c r="H2" s="1">
        <f>G2*0.9</f>
        <v>38.556</v>
      </c>
      <c r="I2" s="16">
        <v>0.02</v>
      </c>
      <c r="J2" s="16"/>
      <c r="K2" s="1" t="s">
        <v>38</v>
      </c>
      <c r="L2" s="1" t="s">
        <v>39</v>
      </c>
      <c r="M2" s="1" t="s">
        <v>40</v>
      </c>
      <c r="N2" s="17" t="s">
        <v>41</v>
      </c>
      <c r="O2" s="18" t="s">
        <v>42</v>
      </c>
      <c r="P2" s="17" t="s">
        <v>41</v>
      </c>
      <c r="Q2" s="19"/>
      <c r="R2" s="19"/>
      <c r="S2" s="20">
        <v>6</v>
      </c>
      <c r="T2" s="20">
        <v>1</v>
      </c>
      <c r="U2" s="10"/>
      <c r="V2" s="10"/>
      <c r="W2" s="21">
        <v>0.8</v>
      </c>
      <c r="X2" s="21">
        <v>1.2</v>
      </c>
      <c r="Y2" s="16"/>
      <c r="Z2" s="21">
        <v>1</v>
      </c>
      <c r="AA2" s="16">
        <v>0</v>
      </c>
      <c r="AB2" s="22">
        <v>0</v>
      </c>
      <c r="AC2" s="21"/>
      <c r="AD2" s="23"/>
      <c r="AE2" s="24">
        <v>0.04</v>
      </c>
      <c r="AF2" s="16"/>
      <c r="AG2" s="25" t="s">
        <v>43</v>
      </c>
      <c r="AH2" s="16" t="s">
        <v>44</v>
      </c>
      <c r="AI2" s="26"/>
      <c r="AJ2" s="27"/>
      <c r="AK2" s="27"/>
    </row>
    <row r="3" s="2" customFormat="1" customHeight="1" spans="1:38">
      <c r="A3" s="1">
        <v>3</v>
      </c>
      <c r="B3" s="28">
        <v>0</v>
      </c>
      <c r="C3" s="28">
        <v>0</v>
      </c>
      <c r="D3" s="2">
        <v>0</v>
      </c>
      <c r="E3" s="2">
        <v>37.04</v>
      </c>
      <c r="F3" s="2">
        <f>E3*1.05</f>
        <v>38.892</v>
      </c>
      <c r="G3" s="2">
        <v>92</v>
      </c>
      <c r="H3" s="2">
        <f>G3*0.9</f>
        <v>82.8</v>
      </c>
      <c r="I3" s="29">
        <v>0.06</v>
      </c>
      <c r="J3" s="29"/>
      <c r="K3" s="2" t="s">
        <v>45</v>
      </c>
      <c r="L3" s="2" t="s">
        <v>46</v>
      </c>
      <c r="M3" s="2" t="s">
        <v>40</v>
      </c>
      <c r="N3" s="30" t="s">
        <v>41</v>
      </c>
      <c r="O3" s="31" t="s">
        <v>42</v>
      </c>
      <c r="P3" s="30" t="s">
        <v>41</v>
      </c>
      <c r="Q3" s="32"/>
      <c r="R3" s="32"/>
      <c r="S3" s="33">
        <v>6</v>
      </c>
      <c r="T3" s="33">
        <v>1</v>
      </c>
      <c r="U3" s="28"/>
      <c r="V3" s="28"/>
      <c r="W3" s="34">
        <v>0.8</v>
      </c>
      <c r="X3" s="34">
        <v>1.2</v>
      </c>
      <c r="Y3" s="29"/>
      <c r="Z3" s="34">
        <v>1</v>
      </c>
      <c r="AA3" s="29">
        <v>0</v>
      </c>
      <c r="AB3" s="35">
        <v>0</v>
      </c>
      <c r="AC3" s="34"/>
      <c r="AD3" s="36"/>
      <c r="AE3" s="37">
        <v>0.04</v>
      </c>
      <c r="AF3" s="29"/>
      <c r="AG3" s="38" t="s">
        <v>43</v>
      </c>
      <c r="AH3" s="29" t="s">
        <v>44</v>
      </c>
      <c r="AI3" s="39"/>
      <c r="AJ3" s="40"/>
      <c r="AK3" s="40"/>
    </row>
    <row r="4" s="1" customFormat="1" customHeight="1" spans="1:38">
      <c r="A4" s="1">
        <v>4</v>
      </c>
      <c r="B4" s="10">
        <f>D4*C4</f>
        <v>6400.4</v>
      </c>
      <c r="C4" s="10">
        <v>16.001</v>
      </c>
      <c r="D4" s="1">
        <v>400</v>
      </c>
      <c r="E4" s="1">
        <v>5.93</v>
      </c>
      <c r="F4" s="1">
        <f>E4*1.05</f>
        <v>6.2265</v>
      </c>
      <c r="G4" s="1">
        <v>7.68</v>
      </c>
      <c r="H4" s="1">
        <f>G4*0.9</f>
        <v>6.912</v>
      </c>
      <c r="I4" s="16">
        <v>0.02</v>
      </c>
      <c r="J4" s="16"/>
      <c r="K4" s="1" t="s">
        <v>47</v>
      </c>
      <c r="L4" s="1" t="s">
        <v>48</v>
      </c>
      <c r="M4" s="1" t="s">
        <v>40</v>
      </c>
      <c r="N4" s="17" t="s">
        <v>41</v>
      </c>
      <c r="O4" s="18" t="s">
        <v>42</v>
      </c>
      <c r="P4" s="17" t="s">
        <v>41</v>
      </c>
      <c r="Q4" s="19"/>
      <c r="R4" s="19"/>
      <c r="S4" s="20">
        <v>6</v>
      </c>
      <c r="T4" s="20">
        <v>1</v>
      </c>
      <c r="U4" s="10"/>
      <c r="V4" s="10"/>
      <c r="W4" s="21">
        <v>0.8</v>
      </c>
      <c r="X4" s="21">
        <v>1.2</v>
      </c>
      <c r="Y4" s="16"/>
      <c r="Z4" s="21">
        <v>1</v>
      </c>
      <c r="AA4" s="16">
        <v>0</v>
      </c>
      <c r="AB4" s="22">
        <v>0</v>
      </c>
      <c r="AC4" s="21"/>
      <c r="AD4" s="23"/>
      <c r="AE4" s="24">
        <v>0.04</v>
      </c>
      <c r="AF4" s="16"/>
      <c r="AG4" s="25" t="s">
        <v>43</v>
      </c>
      <c r="AH4" s="16" t="s">
        <v>44</v>
      </c>
      <c r="AI4" s="26"/>
      <c r="AJ4" s="27"/>
      <c r="AK4" s="27"/>
    </row>
    <row r="5" s="3" customFormat="1" customHeight="1" spans="1:38">
      <c r="A5" s="1">
        <v>5</v>
      </c>
      <c r="B5" s="41">
        <f>D5*C5</f>
        <v>8892</v>
      </c>
      <c r="C5" s="41">
        <v>0.78</v>
      </c>
      <c r="D5" s="3">
        <v>11400</v>
      </c>
      <c r="E5" s="3">
        <v>0.467</v>
      </c>
      <c r="F5" s="3">
        <f>E5*1.05</f>
        <v>0.49035</v>
      </c>
      <c r="G5" s="3">
        <v>0.654</v>
      </c>
      <c r="H5" s="3">
        <f>G5*0.9</f>
        <v>0.5886</v>
      </c>
      <c r="I5" s="42">
        <v>0.02</v>
      </c>
      <c r="J5" s="42"/>
      <c r="K5" s="3" t="s">
        <v>49</v>
      </c>
      <c r="L5" s="3" t="s">
        <v>50</v>
      </c>
      <c r="M5" s="3" t="s">
        <v>51</v>
      </c>
      <c r="N5" s="43" t="s">
        <v>41</v>
      </c>
      <c r="O5" s="44" t="s">
        <v>42</v>
      </c>
      <c r="P5" s="43" t="s">
        <v>41</v>
      </c>
      <c r="Q5" s="45"/>
      <c r="R5" s="45"/>
      <c r="S5" s="46">
        <v>6</v>
      </c>
      <c r="T5" s="46">
        <v>1</v>
      </c>
      <c r="U5" s="41"/>
      <c r="V5" s="41"/>
      <c r="W5" s="47">
        <v>0.8</v>
      </c>
      <c r="X5" s="47">
        <v>1.2</v>
      </c>
      <c r="Y5" s="42"/>
      <c r="Z5" s="47">
        <v>1</v>
      </c>
      <c r="AA5" s="42">
        <v>0</v>
      </c>
      <c r="AB5" s="48">
        <v>0</v>
      </c>
      <c r="AC5" s="47"/>
      <c r="AD5" s="23"/>
      <c r="AE5" s="24">
        <v>0.04</v>
      </c>
      <c r="AF5" s="42"/>
      <c r="AG5" s="49" t="s">
        <v>43</v>
      </c>
      <c r="AH5" s="42" t="s">
        <v>44</v>
      </c>
      <c r="AI5" s="50"/>
      <c r="AJ5" s="51"/>
      <c r="AK5" s="51"/>
    </row>
    <row r="6" s="4" customFormat="1" customHeight="1" spans="1:38">
      <c r="A6" s="1">
        <v>6</v>
      </c>
      <c r="B6" s="52"/>
      <c r="C6" s="52"/>
      <c r="E6" s="53">
        <v>0.698</v>
      </c>
      <c r="F6" s="1">
        <f t="shared" ref="F6:F12" si="0">E6*1.05</f>
        <v>0.7329</v>
      </c>
      <c r="G6" s="1">
        <v>1.075</v>
      </c>
      <c r="H6" s="1">
        <f t="shared" ref="H6:H12" si="1">G6*0.9</f>
        <v>0.9675</v>
      </c>
      <c r="I6" s="54">
        <v>0</v>
      </c>
      <c r="J6" s="55">
        <v>0.4</v>
      </c>
      <c r="K6" s="56" t="s">
        <v>52</v>
      </c>
      <c r="L6" s="57" t="s">
        <v>53</v>
      </c>
      <c r="M6" s="56" t="s">
        <v>51</v>
      </c>
      <c r="N6" s="56" t="s">
        <v>54</v>
      </c>
      <c r="O6" s="58"/>
      <c r="P6" s="58"/>
      <c r="Q6" s="59">
        <v>45748</v>
      </c>
      <c r="R6" s="55">
        <v>1.04</v>
      </c>
      <c r="S6" s="60">
        <v>36</v>
      </c>
      <c r="T6" s="60">
        <v>1</v>
      </c>
      <c r="U6" s="55">
        <v>0.59</v>
      </c>
      <c r="V6" s="53">
        <f t="shared" ref="V6:V12" si="2">X6*R6</f>
        <v>1.092</v>
      </c>
      <c r="W6" s="61">
        <f t="shared" ref="W6:W12" si="3">U6/R6</f>
        <v>0.567307692307692</v>
      </c>
      <c r="X6" s="62">
        <v>1.05</v>
      </c>
      <c r="Y6" s="55">
        <v>100000</v>
      </c>
      <c r="Z6" s="62">
        <v>1</v>
      </c>
      <c r="AB6" s="63">
        <v>0</v>
      </c>
      <c r="AC6" s="61">
        <v>0.44</v>
      </c>
      <c r="AD6" s="64">
        <f t="shared" ref="AD6:AD12" si="4">AC6/Z6</f>
        <v>0.44</v>
      </c>
      <c r="AE6" s="65">
        <v>0.04</v>
      </c>
      <c r="AF6" s="53"/>
      <c r="AG6" s="66" t="s">
        <v>43</v>
      </c>
      <c r="AH6" s="53" t="s">
        <v>44</v>
      </c>
      <c r="AI6" s="61">
        <v>1</v>
      </c>
      <c r="AJ6" s="67"/>
      <c r="AL6" s="68" t="s">
        <v>55</v>
      </c>
    </row>
    <row r="7" s="4" customFormat="1" customHeight="1" spans="1:38">
      <c r="A7" s="1">
        <v>7</v>
      </c>
      <c r="B7" s="52"/>
      <c r="C7" s="52"/>
      <c r="D7" s="53"/>
      <c r="E7" s="53">
        <v>0.586</v>
      </c>
      <c r="F7" s="1">
        <f t="shared" si="0"/>
        <v>0.6153</v>
      </c>
      <c r="G7" s="1">
        <v>0.9</v>
      </c>
      <c r="H7" s="1">
        <f t="shared" si="1"/>
        <v>0.81</v>
      </c>
      <c r="I7" s="54">
        <v>0.02</v>
      </c>
      <c r="J7" s="55">
        <v>0.22</v>
      </c>
      <c r="K7" s="56" t="s">
        <v>56</v>
      </c>
      <c r="L7" s="57" t="s">
        <v>57</v>
      </c>
      <c r="M7" s="56" t="s">
        <v>51</v>
      </c>
      <c r="N7" s="56" t="s">
        <v>54</v>
      </c>
      <c r="O7" s="58"/>
      <c r="P7" s="58"/>
      <c r="Q7" s="59">
        <v>45748</v>
      </c>
      <c r="R7" s="55">
        <v>0.763</v>
      </c>
      <c r="S7" s="60">
        <v>36</v>
      </c>
      <c r="T7" s="60">
        <v>1</v>
      </c>
      <c r="U7" s="55">
        <v>0.538</v>
      </c>
      <c r="V7" s="53">
        <f t="shared" si="2"/>
        <v>0.80115</v>
      </c>
      <c r="W7" s="61">
        <f t="shared" si="3"/>
        <v>0.705111402359109</v>
      </c>
      <c r="X7" s="62">
        <v>1.05</v>
      </c>
      <c r="Y7" s="55">
        <v>100000</v>
      </c>
      <c r="Z7" s="62">
        <v>1</v>
      </c>
      <c r="AA7" s="53"/>
      <c r="AB7" s="63">
        <v>0</v>
      </c>
      <c r="AC7" s="4">
        <v>0.3</v>
      </c>
      <c r="AD7" s="64">
        <f t="shared" si="4"/>
        <v>0.3</v>
      </c>
      <c r="AE7" s="65">
        <v>0.04</v>
      </c>
      <c r="AF7" s="53"/>
      <c r="AG7" s="66" t="s">
        <v>43</v>
      </c>
      <c r="AH7" s="53" t="s">
        <v>44</v>
      </c>
      <c r="AI7" s="61">
        <v>1</v>
      </c>
      <c r="AJ7" s="67"/>
      <c r="AK7" s="69"/>
      <c r="AL7" s="68" t="s">
        <v>58</v>
      </c>
    </row>
    <row r="8" s="4" customFormat="1" customHeight="1" spans="1:38">
      <c r="A8" s="1">
        <v>8</v>
      </c>
      <c r="B8" s="52"/>
      <c r="C8" s="52"/>
      <c r="E8" s="53">
        <v>0.306</v>
      </c>
      <c r="F8" s="1">
        <f t="shared" si="0"/>
        <v>0.3213</v>
      </c>
      <c r="G8" s="1">
        <v>0.439</v>
      </c>
      <c r="H8" s="1">
        <f t="shared" si="1"/>
        <v>0.3951</v>
      </c>
      <c r="I8" s="54">
        <v>0.02</v>
      </c>
      <c r="J8" s="55">
        <v>0.2</v>
      </c>
      <c r="K8" s="56" t="s">
        <v>59</v>
      </c>
      <c r="L8" s="57" t="s">
        <v>60</v>
      </c>
      <c r="M8" s="56" t="s">
        <v>51</v>
      </c>
      <c r="N8" s="56" t="s">
        <v>54</v>
      </c>
      <c r="O8" s="58"/>
      <c r="P8" s="58"/>
      <c r="Q8" s="59">
        <v>45748</v>
      </c>
      <c r="R8" s="55">
        <v>0.37</v>
      </c>
      <c r="S8" s="60">
        <v>36</v>
      </c>
      <c r="T8" s="60">
        <v>1</v>
      </c>
      <c r="U8" s="55">
        <v>0.3</v>
      </c>
      <c r="V8" s="53">
        <f t="shared" si="2"/>
        <v>0.3885</v>
      </c>
      <c r="W8" s="61">
        <f t="shared" si="3"/>
        <v>0.810810810810811</v>
      </c>
      <c r="X8" s="62">
        <v>1.05</v>
      </c>
      <c r="Y8" s="55">
        <v>100000</v>
      </c>
      <c r="Z8" s="62">
        <v>1</v>
      </c>
      <c r="AB8" s="63">
        <v>0</v>
      </c>
      <c r="AC8" s="61">
        <v>0.3</v>
      </c>
      <c r="AD8" s="64">
        <f t="shared" si="4"/>
        <v>0.3</v>
      </c>
      <c r="AE8" s="65">
        <v>0.04</v>
      </c>
      <c r="AF8" s="53"/>
      <c r="AG8" s="66" t="s">
        <v>43</v>
      </c>
      <c r="AH8" s="53" t="s">
        <v>44</v>
      </c>
      <c r="AI8" s="61">
        <v>1</v>
      </c>
      <c r="AJ8" s="67"/>
      <c r="AK8" s="5"/>
      <c r="AL8" s="68" t="s">
        <v>61</v>
      </c>
    </row>
    <row r="9" s="4" customFormat="1" customHeight="1" spans="1:38">
      <c r="A9" s="1">
        <v>9</v>
      </c>
      <c r="B9" s="52"/>
      <c r="C9" s="52"/>
      <c r="D9" s="53"/>
      <c r="E9" s="53">
        <v>0.38</v>
      </c>
      <c r="F9" s="1">
        <f t="shared" si="0"/>
        <v>0.399</v>
      </c>
      <c r="G9" s="1">
        <v>0.78</v>
      </c>
      <c r="H9" s="1">
        <f t="shared" si="1"/>
        <v>0.702</v>
      </c>
      <c r="I9" s="54">
        <v>0.02</v>
      </c>
      <c r="J9" s="55">
        <v>0.25</v>
      </c>
      <c r="K9" s="56" t="s">
        <v>62</v>
      </c>
      <c r="L9" s="57" t="s">
        <v>63</v>
      </c>
      <c r="M9" s="56" t="s">
        <v>51</v>
      </c>
      <c r="N9" s="56" t="s">
        <v>54</v>
      </c>
      <c r="O9" s="58"/>
      <c r="P9" s="58"/>
      <c r="Q9" s="59">
        <v>45748</v>
      </c>
      <c r="R9" s="55">
        <v>0.616</v>
      </c>
      <c r="S9" s="60">
        <v>36</v>
      </c>
      <c r="T9" s="60">
        <v>1</v>
      </c>
      <c r="U9" s="55">
        <v>0.48</v>
      </c>
      <c r="V9" s="53">
        <f t="shared" si="2"/>
        <v>0.6468</v>
      </c>
      <c r="W9" s="61">
        <f t="shared" si="3"/>
        <v>0.779220779220779</v>
      </c>
      <c r="X9" s="62">
        <v>1.05</v>
      </c>
      <c r="Y9" s="55">
        <v>100000</v>
      </c>
      <c r="Z9" s="62">
        <v>1</v>
      </c>
      <c r="AA9" s="53"/>
      <c r="AB9" s="63">
        <v>0</v>
      </c>
      <c r="AC9" s="4">
        <v>0.34</v>
      </c>
      <c r="AD9" s="64">
        <f t="shared" si="4"/>
        <v>0.34</v>
      </c>
      <c r="AE9" s="65">
        <v>0.04</v>
      </c>
      <c r="AG9" s="66" t="s">
        <v>43</v>
      </c>
      <c r="AH9" s="53" t="s">
        <v>44</v>
      </c>
      <c r="AI9" s="61">
        <v>1</v>
      </c>
      <c r="AJ9" s="67"/>
      <c r="AK9" s="5"/>
      <c r="AL9" s="68" t="s">
        <v>64</v>
      </c>
    </row>
    <row r="10" s="5" customFormat="1" customHeight="1" spans="1:38">
      <c r="A10" s="1">
        <v>10</v>
      </c>
      <c r="E10" s="53">
        <v>0.887</v>
      </c>
      <c r="F10" s="1">
        <f t="shared" si="0"/>
        <v>0.93135</v>
      </c>
      <c r="G10" s="1">
        <v>1.208</v>
      </c>
      <c r="H10" s="1">
        <f t="shared" si="1"/>
        <v>1.0872</v>
      </c>
      <c r="I10" s="56">
        <v>0.02</v>
      </c>
      <c r="J10" s="56">
        <v>0.13</v>
      </c>
      <c r="K10" s="56" t="s">
        <v>65</v>
      </c>
      <c r="L10" s="56" t="s">
        <v>66</v>
      </c>
      <c r="M10" s="56" t="s">
        <v>51</v>
      </c>
      <c r="N10" s="56" t="s">
        <v>54</v>
      </c>
      <c r="Q10" s="59">
        <v>45748</v>
      </c>
      <c r="R10" s="56">
        <v>1.06</v>
      </c>
      <c r="S10" s="56">
        <v>36</v>
      </c>
      <c r="T10" s="56">
        <v>1</v>
      </c>
      <c r="U10" s="56">
        <v>0.85</v>
      </c>
      <c r="V10" s="53">
        <f t="shared" si="2"/>
        <v>1.113</v>
      </c>
      <c r="W10" s="61">
        <f t="shared" si="3"/>
        <v>0.80188679245283</v>
      </c>
      <c r="X10" s="55">
        <v>1.05</v>
      </c>
      <c r="Y10" s="55">
        <v>50000</v>
      </c>
      <c r="Z10" s="55">
        <v>1</v>
      </c>
      <c r="AB10" s="63">
        <v>0</v>
      </c>
      <c r="AC10" s="5">
        <v>0.12</v>
      </c>
      <c r="AD10" s="64">
        <f t="shared" si="4"/>
        <v>0.12</v>
      </c>
      <c r="AE10" s="5">
        <v>0.04</v>
      </c>
      <c r="AG10" s="66" t="s">
        <v>43</v>
      </c>
      <c r="AH10" s="53" t="s">
        <v>44</v>
      </c>
      <c r="AI10" s="61">
        <v>1</v>
      </c>
      <c r="AL10" s="5" t="s">
        <v>67</v>
      </c>
    </row>
    <row r="11" s="4" customFormat="1" customHeight="1" spans="1:38">
      <c r="A11" s="1">
        <v>11</v>
      </c>
      <c r="B11" s="52"/>
      <c r="C11" s="52"/>
      <c r="D11" s="53"/>
      <c r="E11" s="53">
        <v>0.974</v>
      </c>
      <c r="F11" s="1">
        <f t="shared" si="0"/>
        <v>1.0227</v>
      </c>
      <c r="G11" s="1">
        <v>1.276</v>
      </c>
      <c r="H11" s="1">
        <f t="shared" si="1"/>
        <v>1.1484</v>
      </c>
      <c r="I11" s="54">
        <v>0.04</v>
      </c>
      <c r="J11" s="55">
        <v>0.13</v>
      </c>
      <c r="K11" s="56" t="s">
        <v>68</v>
      </c>
      <c r="L11" s="57" t="s">
        <v>69</v>
      </c>
      <c r="M11" s="56" t="s">
        <v>51</v>
      </c>
      <c r="N11" s="56" t="s">
        <v>54</v>
      </c>
      <c r="O11" s="58"/>
      <c r="P11" s="58"/>
      <c r="Q11" s="59">
        <v>45748</v>
      </c>
      <c r="R11" s="55">
        <v>1.2</v>
      </c>
      <c r="S11" s="60">
        <v>36</v>
      </c>
      <c r="T11" s="60">
        <v>1</v>
      </c>
      <c r="U11" s="55">
        <v>0.96</v>
      </c>
      <c r="V11" s="53">
        <f t="shared" si="2"/>
        <v>1.26</v>
      </c>
      <c r="W11" s="61">
        <f t="shared" si="3"/>
        <v>0.8</v>
      </c>
      <c r="X11" s="62">
        <v>1.05</v>
      </c>
      <c r="Y11" s="55">
        <v>100000</v>
      </c>
      <c r="Z11" s="62">
        <v>1</v>
      </c>
      <c r="AA11" s="53"/>
      <c r="AB11" s="63">
        <v>0</v>
      </c>
      <c r="AC11" s="4">
        <v>0.31</v>
      </c>
      <c r="AD11" s="64">
        <f t="shared" si="4"/>
        <v>0.31</v>
      </c>
      <c r="AE11" s="65">
        <v>0.04</v>
      </c>
      <c r="AG11" s="66" t="s">
        <v>43</v>
      </c>
      <c r="AH11" s="53" t="s">
        <v>44</v>
      </c>
      <c r="AI11" s="61">
        <v>1</v>
      </c>
      <c r="AJ11" s="67"/>
      <c r="AK11" s="5"/>
      <c r="AL11" s="68" t="s">
        <v>70</v>
      </c>
    </row>
    <row r="12" s="4" customFormat="1" customHeight="1" spans="1:38">
      <c r="A12" s="1">
        <v>12</v>
      </c>
      <c r="B12" s="52"/>
      <c r="C12" s="52"/>
      <c r="D12" s="53"/>
      <c r="E12" s="53">
        <v>6.455</v>
      </c>
      <c r="F12" s="1">
        <f t="shared" si="0"/>
        <v>6.77775</v>
      </c>
      <c r="G12" s="1">
        <v>7.361</v>
      </c>
      <c r="H12" s="1">
        <f t="shared" si="1"/>
        <v>6.6249</v>
      </c>
      <c r="I12" s="54">
        <v>0</v>
      </c>
      <c r="J12" s="55">
        <v>0.1</v>
      </c>
      <c r="K12" s="56" t="s">
        <v>71</v>
      </c>
      <c r="L12" s="57" t="s">
        <v>72</v>
      </c>
      <c r="M12" s="56" t="s">
        <v>51</v>
      </c>
      <c r="N12" s="56" t="s">
        <v>54</v>
      </c>
      <c r="O12" s="58"/>
      <c r="P12" s="58"/>
      <c r="Q12" s="59">
        <v>45748</v>
      </c>
      <c r="R12" s="55">
        <v>6.977</v>
      </c>
      <c r="S12" s="60">
        <v>36</v>
      </c>
      <c r="T12" s="60">
        <v>1</v>
      </c>
      <c r="U12" s="55">
        <v>5.58</v>
      </c>
      <c r="V12" s="53">
        <f t="shared" si="2"/>
        <v>7.32585</v>
      </c>
      <c r="W12" s="61">
        <f t="shared" si="3"/>
        <v>0.799770675075247</v>
      </c>
      <c r="X12" s="62">
        <v>1.05</v>
      </c>
      <c r="Y12" s="55">
        <v>50000</v>
      </c>
      <c r="Z12" s="62">
        <v>1</v>
      </c>
      <c r="AA12" s="53"/>
      <c r="AB12" s="63">
        <v>0</v>
      </c>
      <c r="AC12" s="4">
        <v>0.12</v>
      </c>
      <c r="AD12" s="64">
        <f t="shared" si="4"/>
        <v>0.12</v>
      </c>
      <c r="AE12" s="65">
        <v>0.04</v>
      </c>
      <c r="AG12" s="66" t="s">
        <v>43</v>
      </c>
      <c r="AH12" s="53" t="s">
        <v>44</v>
      </c>
      <c r="AI12" s="61">
        <v>1</v>
      </c>
      <c r="AJ12" s="67"/>
      <c r="AK12" s="5"/>
      <c r="AL12" s="68" t="s">
        <v>73</v>
      </c>
    </row>
    <row r="13" customHeight="1" spans="1:38">
      <c r="A13" s="1">
        <v>13</v>
      </c>
      <c r="E13" s="7">
        <v>1200</v>
      </c>
      <c r="F13" s="7">
        <v>1250</v>
      </c>
      <c r="K13" s="7" t="s">
        <v>74</v>
      </c>
      <c r="L13" s="7" t="s">
        <v>75</v>
      </c>
    </row>
    <row r="14" customHeight="1" spans="1:38">
      <c r="A14" s="1">
        <v>14</v>
      </c>
      <c r="E14" s="7">
        <v>13</v>
      </c>
      <c r="F14" s="7">
        <v>14</v>
      </c>
      <c r="K14" s="7" t="s">
        <v>76</v>
      </c>
      <c r="L14" s="7" t="s">
        <v>77</v>
      </c>
    </row>
    <row r="15" customHeight="1" spans="1:38">
      <c r="A15" s="1">
        <v>15</v>
      </c>
      <c r="E15" s="7">
        <v>9</v>
      </c>
      <c r="F15" s="7">
        <v>9.5</v>
      </c>
      <c r="K15" s="7" t="s">
        <v>78</v>
      </c>
      <c r="L15" s="7" t="s">
        <v>79</v>
      </c>
    </row>
    <row r="16" customHeight="1" spans="1:38">
      <c r="A16" s="1">
        <v>16</v>
      </c>
      <c r="E16" s="7">
        <v>23</v>
      </c>
      <c r="F16" s="7">
        <v>24</v>
      </c>
      <c r="K16" s="7" t="s">
        <v>80</v>
      </c>
      <c r="L16" s="7" t="s">
        <v>81</v>
      </c>
    </row>
    <row r="17" customHeight="1" spans="1:37">
      <c r="A17" s="1">
        <v>17</v>
      </c>
      <c r="E17" s="7">
        <v>13</v>
      </c>
      <c r="F17" s="7">
        <v>16.5</v>
      </c>
      <c r="K17" s="7" t="s">
        <v>82</v>
      </c>
      <c r="L17" s="7" t="s">
        <v>83</v>
      </c>
    </row>
    <row r="18" customHeight="1" spans="1:37">
      <c r="A18" s="1">
        <v>18</v>
      </c>
      <c r="E18" s="7">
        <v>33</v>
      </c>
      <c r="F18" s="7">
        <v>35</v>
      </c>
      <c r="K18" s="7" t="s">
        <v>84</v>
      </c>
      <c r="L18" s="7" t="s">
        <v>85</v>
      </c>
    </row>
    <row r="19" customHeight="1" spans="1:37">
      <c r="A19" s="1">
        <v>19</v>
      </c>
      <c r="E19" s="7">
        <v>4</v>
      </c>
      <c r="F19" s="7">
        <v>4.4</v>
      </c>
      <c r="K19" s="7" t="s">
        <v>86</v>
      </c>
      <c r="L19" s="7" t="s">
        <v>87</v>
      </c>
    </row>
    <row r="20" customHeight="1" spans="1:37">
      <c r="A20" s="1">
        <v>20</v>
      </c>
      <c r="E20" s="7">
        <v>10</v>
      </c>
      <c r="F20" s="7">
        <v>12</v>
      </c>
      <c r="K20" s="7" t="s">
        <v>88</v>
      </c>
      <c r="L20" s="7" t="s">
        <v>89</v>
      </c>
    </row>
    <row r="21" customHeight="1" spans="1:37">
      <c r="A21" s="1">
        <v>21</v>
      </c>
      <c r="E21" s="7">
        <v>32</v>
      </c>
      <c r="F21" s="7">
        <v>35</v>
      </c>
      <c r="K21" s="7" t="s">
        <v>90</v>
      </c>
      <c r="L21" s="7" t="s">
        <v>91</v>
      </c>
    </row>
    <row r="22" customHeight="1" spans="1:37">
      <c r="A22" s="1">
        <v>22</v>
      </c>
      <c r="E22" s="7">
        <v>14</v>
      </c>
      <c r="F22" s="7">
        <f>28*0.6</f>
        <v>16.8</v>
      </c>
      <c r="K22" s="7" t="s">
        <v>92</v>
      </c>
      <c r="L22" s="7" t="s">
        <v>93</v>
      </c>
    </row>
    <row r="23" customHeight="1" spans="1:37">
      <c r="A23" s="1">
        <v>23</v>
      </c>
      <c r="E23" s="7">
        <v>14</v>
      </c>
      <c r="F23" s="7">
        <v>15</v>
      </c>
      <c r="K23" s="7" t="s">
        <v>94</v>
      </c>
      <c r="L23" s="7" t="s">
        <v>95</v>
      </c>
    </row>
    <row r="24" s="6" customFormat="1" customHeight="1" spans="1:37">
      <c r="A24" s="1">
        <v>24</v>
      </c>
      <c r="B24" s="42"/>
      <c r="C24" s="42"/>
      <c r="D24" s="6"/>
      <c r="E24" s="6">
        <v>31</v>
      </c>
      <c r="F24" s="6">
        <f t="shared" ref="F24:F34" si="5">E24*1.05</f>
        <v>32.55</v>
      </c>
      <c r="G24" s="6">
        <v>50.78</v>
      </c>
      <c r="H24" s="6">
        <f>G24*0.9</f>
        <v>45.702</v>
      </c>
      <c r="I24" s="42">
        <v>0.02</v>
      </c>
      <c r="J24" s="42"/>
      <c r="K24" s="6" t="s">
        <v>96</v>
      </c>
      <c r="L24" s="6" t="s">
        <v>97</v>
      </c>
      <c r="M24" s="6" t="s">
        <v>40</v>
      </c>
      <c r="N24" s="43" t="s">
        <v>41</v>
      </c>
      <c r="O24" s="44" t="s">
        <v>42</v>
      </c>
      <c r="P24" s="43" t="s">
        <v>41</v>
      </c>
      <c r="Q24" s="70">
        <v>44986</v>
      </c>
      <c r="R24" s="70"/>
      <c r="S24" s="46">
        <v>6</v>
      </c>
      <c r="T24" s="46">
        <v>1</v>
      </c>
      <c r="U24" s="42"/>
      <c r="V24" s="42"/>
      <c r="W24" s="47">
        <v>0.8</v>
      </c>
      <c r="X24" s="47">
        <v>1.2</v>
      </c>
      <c r="Y24" s="42">
        <v>50000</v>
      </c>
      <c r="Z24" s="47">
        <v>1</v>
      </c>
      <c r="AA24" s="42">
        <v>0</v>
      </c>
      <c r="AB24" s="48">
        <v>0</v>
      </c>
      <c r="AC24" s="47"/>
      <c r="AD24" s="23"/>
      <c r="AE24" s="24">
        <v>0.04</v>
      </c>
      <c r="AF24" s="42"/>
      <c r="AG24" s="49" t="s">
        <v>43</v>
      </c>
      <c r="AH24" s="42" t="s">
        <v>44</v>
      </c>
      <c r="AI24" s="50"/>
      <c r="AJ24" s="51"/>
      <c r="AK24" s="51"/>
    </row>
    <row r="25" customHeight="1" spans="1:37">
      <c r="A25" s="1">
        <v>25</v>
      </c>
      <c r="E25" s="7">
        <v>28</v>
      </c>
      <c r="F25" s="7">
        <f>42*0.75</f>
        <v>31.5</v>
      </c>
      <c r="K25" s="7" t="s">
        <v>98</v>
      </c>
      <c r="L25" s="7" t="s">
        <v>99</v>
      </c>
    </row>
    <row r="26" customHeight="1" spans="1:37">
      <c r="A26" s="1">
        <v>26</v>
      </c>
      <c r="E26" s="7">
        <v>18</v>
      </c>
      <c r="F26" s="7">
        <v>20</v>
      </c>
      <c r="K26" s="7" t="s">
        <v>100</v>
      </c>
      <c r="L26" s="7" t="s">
        <v>101</v>
      </c>
    </row>
    <row r="27" customHeight="1" spans="1:37">
      <c r="A27" s="1">
        <v>27</v>
      </c>
      <c r="E27" s="7">
        <v>26</v>
      </c>
      <c r="F27" s="1">
        <f t="shared" si="5"/>
        <v>27.3</v>
      </c>
      <c r="K27" s="7" t="s">
        <v>102</v>
      </c>
      <c r="L27" s="7" t="s">
        <v>103</v>
      </c>
    </row>
    <row r="28" customHeight="1" spans="1:37">
      <c r="A28" s="1">
        <v>28</v>
      </c>
      <c r="E28" s="7">
        <v>2.7</v>
      </c>
      <c r="F28" s="1">
        <f t="shared" si="5"/>
        <v>2.835</v>
      </c>
      <c r="K28" s="7" t="s">
        <v>104</v>
      </c>
      <c r="L28" s="7" t="s">
        <v>105</v>
      </c>
    </row>
    <row r="29" customHeight="1" spans="1:37">
      <c r="A29" s="1">
        <v>29</v>
      </c>
      <c r="E29" s="7">
        <v>40</v>
      </c>
      <c r="F29" s="1">
        <f t="shared" si="5"/>
        <v>42</v>
      </c>
      <c r="K29" s="7" t="s">
        <v>106</v>
      </c>
      <c r="L29" s="7" t="s">
        <v>107</v>
      </c>
    </row>
    <row r="30" customHeight="1" spans="1:37">
      <c r="A30" s="1">
        <v>30</v>
      </c>
      <c r="E30" s="7">
        <v>120</v>
      </c>
      <c r="F30" s="1">
        <f t="shared" si="5"/>
        <v>126</v>
      </c>
      <c r="K30" s="7" t="s">
        <v>108</v>
      </c>
      <c r="L30" s="7" t="s">
        <v>109</v>
      </c>
    </row>
    <row r="31" customHeight="1" spans="1:37">
      <c r="A31" s="1">
        <v>31</v>
      </c>
      <c r="E31" s="7">
        <v>180</v>
      </c>
      <c r="F31" s="1">
        <f t="shared" si="5"/>
        <v>189</v>
      </c>
      <c r="K31" s="7" t="s">
        <v>110</v>
      </c>
      <c r="L31" s="7" t="s">
        <v>111</v>
      </c>
    </row>
    <row r="32" customHeight="1" spans="1:37">
      <c r="A32" s="1">
        <v>32</v>
      </c>
      <c r="E32" s="7">
        <v>1.8</v>
      </c>
      <c r="F32" s="1">
        <f t="shared" si="5"/>
        <v>1.89</v>
      </c>
      <c r="K32" s="7" t="s">
        <v>112</v>
      </c>
      <c r="L32" s="7" t="s">
        <v>113</v>
      </c>
    </row>
    <row r="33" customHeight="1" spans="1:12">
      <c r="A33" s="1">
        <v>33</v>
      </c>
      <c r="E33" s="7">
        <v>300</v>
      </c>
      <c r="F33" s="1">
        <f t="shared" si="5"/>
        <v>315</v>
      </c>
      <c r="K33" s="7" t="s">
        <v>114</v>
      </c>
      <c r="L33" s="7" t="s">
        <v>115</v>
      </c>
    </row>
    <row r="34" customHeight="1" spans="1:12">
      <c r="A34" s="1">
        <v>34</v>
      </c>
      <c r="E34" s="7">
        <v>3</v>
      </c>
      <c r="F34" s="1">
        <f t="shared" si="5"/>
        <v>3.15</v>
      </c>
      <c r="K34" s="7" t="s">
        <v>116</v>
      </c>
      <c r="L34" s="7" t="s">
        <v>117</v>
      </c>
    </row>
  </sheetData>
  <dataValidations count="1">
    <dataValidation type="decimal" operator="between" allowBlank="1" showInputMessage="1" showErrorMessage="1" sqref="AE24 AE2:AE9 AE11:AE12">
      <formula1>0</formula1>
      <formula2>0.3</formula2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盾奇白山</cp:lastModifiedBy>
  <dcterms:created xsi:type="dcterms:W3CDTF">2023-02-10T09:01:00Z</dcterms:created>
  <dcterms:modified xsi:type="dcterms:W3CDTF">2026-07-29T14:46:24Z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D9B753DD8DB143978E049E3A7488466E_13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